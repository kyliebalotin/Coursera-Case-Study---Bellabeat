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que Ids" sheetId="1" r:id="rId4"/>
    <sheet state="visible" name="dailyActivity_ma" sheetId="2" r:id="rId5"/>
    <sheet state="visible" name="HeartRate_ma" sheetId="3" r:id="rId6"/>
    <sheet state="visible" name="dailyActivity_am" sheetId="4" r:id="rId7"/>
    <sheet state="visible" name="HeartRate_am" sheetId="5" r:id="rId8"/>
    <sheet state="visible" name="HourlySleep_ma" sheetId="6" r:id="rId9"/>
    <sheet state="visible" name="HourlySleep_am" sheetId="7" r:id="rId10"/>
    <sheet state="visible" name="MinuteSteps_ma" sheetId="8" r:id="rId11"/>
    <sheet state="visible" name="MinuteSteps_am" sheetId="9" r:id="rId12"/>
    <sheet state="visible" name="DailySleep_am" sheetId="10" r:id="rId13"/>
    <sheet state="visible" name="WeightLog_ma" sheetId="11" r:id="rId14"/>
    <sheet state="visible" name="WeightLog_am" sheetId="12" r:id="rId15"/>
  </sheets>
  <definedNames/>
  <calcPr/>
</workbook>
</file>

<file path=xl/sharedStrings.xml><?xml version="1.0" encoding="utf-8"?>
<sst xmlns="http://schemas.openxmlformats.org/spreadsheetml/2006/main" count="44" uniqueCount="22">
  <si>
    <t>Data Set</t>
  </si>
  <si>
    <t>March/April</t>
  </si>
  <si>
    <t>April/May</t>
  </si>
  <si>
    <t>Percent Tracking</t>
  </si>
  <si>
    <t>Daily Activity</t>
  </si>
  <si>
    <t>35*</t>
  </si>
  <si>
    <t>33*</t>
  </si>
  <si>
    <t>All tracking activity</t>
  </si>
  <si>
    <t>Hourly Steps</t>
  </si>
  <si>
    <t>34*</t>
  </si>
  <si>
    <t>All tracking steps</t>
  </si>
  <si>
    <t>Minute Sleep</t>
  </si>
  <si>
    <t>% tracking sleep</t>
  </si>
  <si>
    <t>Sleep Day</t>
  </si>
  <si>
    <t>N/A</t>
  </si>
  <si>
    <t>Heart Rate</t>
  </si>
  <si>
    <t>% tracking heart rate</t>
  </si>
  <si>
    <t>Weight Log</t>
  </si>
  <si>
    <t>% tracking weight</t>
  </si>
  <si>
    <t>*More participants found than expected - sample size is supposed to be 30</t>
  </si>
  <si>
    <t>Id</t>
  </si>
  <si>
    <t>num_interact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</si>
</sst>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Unique Id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7" displayName="Table1" name="Table1" id="1">
  <tableColumns count="4">
    <tableColumn name="Data Set" id="1"/>
    <tableColumn name="March/April" id="2"/>
    <tableColumn name="April/May" id="3"/>
    <tableColumn name="Percent Tracking" id="4"/>
  </tableColumns>
  <tableStyleInfo name="Unique I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6.13"/>
    <col customWidth="1" min="3" max="3" width="15.0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</row>
    <row r="2" ht="22.5" customHeight="1">
      <c r="A2" s="4" t="s">
        <v>4</v>
      </c>
      <c r="B2" s="4" t="s">
        <v>5</v>
      </c>
      <c r="C2" s="4" t="s">
        <v>6</v>
      </c>
      <c r="D2" s="5"/>
      <c r="E2" s="6" t="s">
        <v>7</v>
      </c>
    </row>
    <row r="3" ht="22.5" customHeight="1">
      <c r="A3" s="4" t="s">
        <v>8</v>
      </c>
      <c r="B3" s="4" t="s">
        <v>9</v>
      </c>
      <c r="C3" s="4" t="s">
        <v>6</v>
      </c>
      <c r="D3" s="5"/>
      <c r="E3" s="6" t="s">
        <v>10</v>
      </c>
    </row>
    <row r="4" ht="22.5" customHeight="1">
      <c r="A4" s="4" t="s">
        <v>11</v>
      </c>
      <c r="B4" s="4">
        <v>23.0</v>
      </c>
      <c r="C4" s="4">
        <v>24.0</v>
      </c>
      <c r="D4" s="5">
        <f>(23.5)/30*100</f>
        <v>78.33333333</v>
      </c>
      <c r="E4" s="6" t="s">
        <v>12</v>
      </c>
    </row>
    <row r="5" ht="22.5" customHeight="1">
      <c r="A5" s="4" t="s">
        <v>13</v>
      </c>
      <c r="B5" s="4" t="s">
        <v>14</v>
      </c>
      <c r="C5" s="4">
        <v>24.0</v>
      </c>
      <c r="D5" s="5">
        <f>24/30*100</f>
        <v>80</v>
      </c>
      <c r="E5" s="6" t="s">
        <v>12</v>
      </c>
    </row>
    <row r="6" ht="22.5" customHeight="1">
      <c r="A6" s="4" t="s">
        <v>15</v>
      </c>
      <c r="B6" s="4">
        <v>14.0</v>
      </c>
      <c r="C6" s="4">
        <v>14.0</v>
      </c>
      <c r="D6" s="5">
        <f>14/30*100</f>
        <v>46.66666667</v>
      </c>
      <c r="E6" s="6" t="s">
        <v>16</v>
      </c>
    </row>
    <row r="7" ht="22.5" customHeight="1">
      <c r="A7" s="4" t="s">
        <v>17</v>
      </c>
      <c r="B7" s="4">
        <v>11.0</v>
      </c>
      <c r="C7" s="4">
        <v>8.0</v>
      </c>
      <c r="D7" s="5">
        <f>average(B7:C7)/30*100</f>
        <v>31.66666667</v>
      </c>
      <c r="E7" s="6" t="s">
        <v>18</v>
      </c>
    </row>
    <row r="9">
      <c r="B9" s="7" t="s">
        <v>19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20</v>
      </c>
      <c r="B1" s="6" t="s">
        <v>21</v>
      </c>
    </row>
    <row r="2">
      <c r="A2" s="6">
        <v>4.02033265E9</v>
      </c>
      <c r="B2" s="6">
        <v>32.0</v>
      </c>
    </row>
    <row r="3">
      <c r="A3" s="6">
        <v>4.057192912E9</v>
      </c>
      <c r="B3" s="6">
        <v>32.0</v>
      </c>
    </row>
    <row r="4">
      <c r="A4" s="6">
        <v>1.624580081E9</v>
      </c>
      <c r="B4" s="6">
        <v>19.0</v>
      </c>
    </row>
    <row r="5">
      <c r="A5" s="6">
        <v>1.503960366E9</v>
      </c>
      <c r="B5" s="6">
        <v>19.0</v>
      </c>
    </row>
    <row r="6">
      <c r="A6" s="6">
        <v>4.445114986E9</v>
      </c>
      <c r="B6" s="6">
        <v>15.0</v>
      </c>
    </row>
    <row r="7">
      <c r="A7" s="6">
        <v>2.347167796E9</v>
      </c>
      <c r="B7" s="6">
        <v>15.0</v>
      </c>
    </row>
    <row r="8">
      <c r="A8" s="6">
        <v>4.702921684E9</v>
      </c>
      <c r="B8" s="6">
        <v>15.0</v>
      </c>
    </row>
    <row r="9">
      <c r="A9" s="6">
        <v>6.962181067E9</v>
      </c>
      <c r="B9" s="6">
        <v>14.0</v>
      </c>
    </row>
    <row r="10">
      <c r="A10" s="6">
        <v>2.022484408E9</v>
      </c>
      <c r="B10" s="6">
        <v>12.0</v>
      </c>
    </row>
    <row r="11">
      <c r="A11" s="6">
        <v>2.026352035E9</v>
      </c>
      <c r="B11" s="6">
        <v>12.0</v>
      </c>
    </row>
    <row r="12">
      <c r="A12" s="6">
        <v>8.792009665E9</v>
      </c>
      <c r="B12" s="6">
        <v>12.0</v>
      </c>
    </row>
    <row r="13">
      <c r="A13" s="6">
        <v>8.3785632E9</v>
      </c>
      <c r="B13" s="6">
        <v>12.0</v>
      </c>
    </row>
    <row r="14">
      <c r="A14" s="6">
        <v>3.977333714E9</v>
      </c>
      <c r="B14" s="6">
        <v>12.0</v>
      </c>
    </row>
    <row r="15">
      <c r="A15" s="6">
        <v>1.927972279E9</v>
      </c>
      <c r="B15" s="6">
        <v>12.0</v>
      </c>
    </row>
    <row r="16">
      <c r="A16" s="6">
        <v>1.844505072E9</v>
      </c>
      <c r="B16" s="6">
        <v>12.0</v>
      </c>
    </row>
    <row r="17">
      <c r="A17" s="6">
        <v>4.319703577E9</v>
      </c>
      <c r="B17" s="6">
        <v>12.0</v>
      </c>
    </row>
    <row r="18">
      <c r="A18" s="6">
        <v>8.253242879E9</v>
      </c>
      <c r="B18" s="6">
        <v>12.0</v>
      </c>
    </row>
    <row r="19">
      <c r="A19" s="6">
        <v>7.086361926E9</v>
      </c>
      <c r="B19" s="6">
        <v>12.0</v>
      </c>
    </row>
    <row r="20">
      <c r="A20" s="6">
        <v>4.558609924E9</v>
      </c>
      <c r="B20" s="6">
        <v>12.0</v>
      </c>
    </row>
    <row r="21">
      <c r="A21" s="6">
        <v>2.320127002E9</v>
      </c>
      <c r="B21" s="6">
        <v>12.0</v>
      </c>
    </row>
    <row r="22">
      <c r="A22" s="6">
        <v>5.553957443E9</v>
      </c>
      <c r="B22" s="6">
        <v>12.0</v>
      </c>
    </row>
    <row r="23">
      <c r="A23" s="6">
        <v>7.007744171E9</v>
      </c>
      <c r="B23" s="6">
        <v>12.0</v>
      </c>
    </row>
    <row r="24">
      <c r="A24" s="6">
        <v>2.873212765E9</v>
      </c>
      <c r="B24" s="6">
        <v>12.0</v>
      </c>
    </row>
    <row r="25">
      <c r="A25" s="6">
        <v>8.877689391E9</v>
      </c>
      <c r="B25" s="6">
        <v>12.0</v>
      </c>
    </row>
    <row r="26">
      <c r="A26" s="6">
        <v>5.577150313E9</v>
      </c>
      <c r="B26" s="6">
        <v>11.0</v>
      </c>
    </row>
    <row r="27">
      <c r="A27" s="6">
        <v>8.053475328E9</v>
      </c>
      <c r="B27" s="6">
        <v>11.0</v>
      </c>
    </row>
    <row r="28">
      <c r="A28" s="6">
        <v>6.290855005E9</v>
      </c>
      <c r="B28" s="6">
        <v>10.0</v>
      </c>
    </row>
    <row r="29">
      <c r="A29" s="6">
        <v>1.644430081E9</v>
      </c>
      <c r="B29" s="6">
        <v>10.0</v>
      </c>
    </row>
    <row r="30">
      <c r="A30" s="6">
        <v>3.372868164E9</v>
      </c>
      <c r="B30" s="6">
        <v>10.0</v>
      </c>
    </row>
    <row r="31">
      <c r="A31" s="6">
        <v>6.11766616E9</v>
      </c>
      <c r="B31" s="6">
        <v>10.0</v>
      </c>
    </row>
    <row r="32">
      <c r="A32" s="6">
        <v>6.391747486E9</v>
      </c>
      <c r="B32" s="6">
        <v>9.0</v>
      </c>
    </row>
    <row r="33">
      <c r="A33" s="6">
        <v>6.775888955E9</v>
      </c>
      <c r="B33" s="6">
        <v>9.0</v>
      </c>
    </row>
    <row r="34">
      <c r="A34" s="6">
        <v>4.388161847E9</v>
      </c>
      <c r="B34" s="6">
        <v>8.0</v>
      </c>
    </row>
    <row r="35">
      <c r="A35" s="6">
        <v>8.583815059E9</v>
      </c>
      <c r="B35" s="6">
        <v>8.0</v>
      </c>
    </row>
    <row r="36">
      <c r="A36" s="6">
        <v>2.891001357E9</v>
      </c>
      <c r="B36" s="6">
        <v>8.0</v>
      </c>
    </row>
    <row r="39">
      <c r="B39" s="8">
        <f>AVERAGE(B2:B36)</f>
        <v>13.05714286</v>
      </c>
    </row>
    <row r="40">
      <c r="B40" s="8">
        <f>median(B2:B36)</f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20</v>
      </c>
      <c r="B1" s="6" t="s">
        <v>21</v>
      </c>
    </row>
    <row r="2">
      <c r="A2" s="6">
        <v>4.02033265E9</v>
      </c>
      <c r="B2" s="6">
        <v>283794.0</v>
      </c>
    </row>
    <row r="3">
      <c r="A3" s="6">
        <v>6.962181067E9</v>
      </c>
      <c r="B3" s="6">
        <v>125875.0</v>
      </c>
    </row>
    <row r="4">
      <c r="A4" s="6">
        <v>2.347167796E9</v>
      </c>
      <c r="B4" s="6">
        <v>120804.0</v>
      </c>
    </row>
    <row r="5">
      <c r="A5" s="6">
        <v>5.553957443E9</v>
      </c>
      <c r="B5" s="6">
        <v>97797.0</v>
      </c>
    </row>
    <row r="6">
      <c r="A6" s="6">
        <v>5.577150313E9</v>
      </c>
      <c r="B6" s="6">
        <v>87649.0</v>
      </c>
    </row>
    <row r="7">
      <c r="A7" s="6">
        <v>8.877689391E9</v>
      </c>
      <c r="B7" s="6">
        <v>85115.0</v>
      </c>
    </row>
    <row r="8">
      <c r="A8" s="6">
        <v>8.792009665E9</v>
      </c>
      <c r="B8" s="6">
        <v>70087.0</v>
      </c>
    </row>
    <row r="9">
      <c r="A9" s="6">
        <v>4.558609924E9</v>
      </c>
      <c r="B9" s="6">
        <v>69339.0</v>
      </c>
    </row>
    <row r="10">
      <c r="A10" s="6">
        <v>7.007744171E9</v>
      </c>
      <c r="B10" s="6">
        <v>64786.0</v>
      </c>
    </row>
    <row r="11">
      <c r="A11" s="6">
        <v>2.022484408E9</v>
      </c>
      <c r="B11" s="6">
        <v>56483.0</v>
      </c>
    </row>
    <row r="12">
      <c r="A12" s="6">
        <v>6.11766616E9</v>
      </c>
      <c r="B12" s="6">
        <v>53666.0</v>
      </c>
    </row>
    <row r="13">
      <c r="A13" s="6">
        <v>6.775888955E9</v>
      </c>
      <c r="B13" s="6">
        <v>35100.0</v>
      </c>
    </row>
    <row r="14">
      <c r="A14" s="6">
        <v>6.391747486E9</v>
      </c>
      <c r="B14" s="6">
        <v>3747.0</v>
      </c>
    </row>
    <row r="15">
      <c r="A15" s="6">
        <v>2.026352035E9</v>
      </c>
      <c r="B15" s="6">
        <v>439.0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20</v>
      </c>
      <c r="B1" s="6" t="s">
        <v>21</v>
      </c>
    </row>
    <row r="2">
      <c r="A2" s="6">
        <v>1.503960366E9</v>
      </c>
      <c r="B2" s="6">
        <v>31.0</v>
      </c>
    </row>
    <row r="3">
      <c r="A3" s="6">
        <v>1.624580081E9</v>
      </c>
      <c r="B3" s="6">
        <v>31.0</v>
      </c>
    </row>
    <row r="4">
      <c r="A4" s="6">
        <v>1.844505072E9</v>
      </c>
      <c r="B4" s="6">
        <v>31.0</v>
      </c>
    </row>
    <row r="5">
      <c r="A5" s="6">
        <v>1.927972279E9</v>
      </c>
      <c r="B5" s="6">
        <v>31.0</v>
      </c>
    </row>
    <row r="6">
      <c r="A6" s="6">
        <v>2.022484408E9</v>
      </c>
      <c r="B6" s="6">
        <v>31.0</v>
      </c>
    </row>
    <row r="7">
      <c r="A7" s="6">
        <v>2.026352035E9</v>
      </c>
      <c r="B7" s="6">
        <v>31.0</v>
      </c>
    </row>
    <row r="8">
      <c r="A8" s="6">
        <v>2.320127002E9</v>
      </c>
      <c r="B8" s="6">
        <v>31.0</v>
      </c>
    </row>
    <row r="9">
      <c r="A9" s="6">
        <v>2.873212765E9</v>
      </c>
      <c r="B9" s="6">
        <v>31.0</v>
      </c>
    </row>
    <row r="10">
      <c r="A10" s="6">
        <v>4.02033265E9</v>
      </c>
      <c r="B10" s="6">
        <v>31.0</v>
      </c>
    </row>
    <row r="11">
      <c r="A11" s="6">
        <v>4.319703577E9</v>
      </c>
      <c r="B11" s="6">
        <v>31.0</v>
      </c>
    </row>
    <row r="12">
      <c r="A12" s="6">
        <v>4.388161847E9</v>
      </c>
      <c r="B12" s="6">
        <v>31.0</v>
      </c>
    </row>
    <row r="13">
      <c r="A13" s="6">
        <v>4.445114986E9</v>
      </c>
      <c r="B13" s="6">
        <v>31.0</v>
      </c>
    </row>
    <row r="14">
      <c r="A14" s="6">
        <v>4.558609924E9</v>
      </c>
      <c r="B14" s="6">
        <v>31.0</v>
      </c>
    </row>
    <row r="15">
      <c r="A15" s="6">
        <v>4.702921684E9</v>
      </c>
      <c r="B15" s="6">
        <v>31.0</v>
      </c>
    </row>
    <row r="16">
      <c r="A16" s="6">
        <v>5.553957443E9</v>
      </c>
      <c r="B16" s="6">
        <v>31.0</v>
      </c>
    </row>
    <row r="17">
      <c r="A17" s="6">
        <v>6.962181067E9</v>
      </c>
      <c r="B17" s="6">
        <v>31.0</v>
      </c>
    </row>
    <row r="18">
      <c r="A18" s="6">
        <v>7.086361926E9</v>
      </c>
      <c r="B18" s="6">
        <v>31.0</v>
      </c>
    </row>
    <row r="19">
      <c r="A19" s="6">
        <v>8.053475328E9</v>
      </c>
      <c r="B19" s="6">
        <v>31.0</v>
      </c>
    </row>
    <row r="20">
      <c r="A20" s="6">
        <v>8.3785632E9</v>
      </c>
      <c r="B20" s="6">
        <v>31.0</v>
      </c>
    </row>
    <row r="21">
      <c r="A21" s="6">
        <v>8.583815059E9</v>
      </c>
      <c r="B21" s="6">
        <v>31.0</v>
      </c>
    </row>
    <row r="22">
      <c r="A22" s="6">
        <v>8.877689391E9</v>
      </c>
      <c r="B22" s="6">
        <v>31.0</v>
      </c>
    </row>
    <row r="23">
      <c r="A23" s="6">
        <v>1.644430081E9</v>
      </c>
      <c r="B23" s="6">
        <v>30.0</v>
      </c>
    </row>
    <row r="24">
      <c r="A24" s="6">
        <v>3.977333714E9</v>
      </c>
      <c r="B24" s="6">
        <v>30.0</v>
      </c>
    </row>
    <row r="25">
      <c r="A25" s="6">
        <v>5.577150313E9</v>
      </c>
      <c r="B25" s="6">
        <v>30.0</v>
      </c>
    </row>
    <row r="26">
      <c r="A26" s="6">
        <v>6.290855005E9</v>
      </c>
      <c r="B26" s="6">
        <v>29.0</v>
      </c>
    </row>
    <row r="27">
      <c r="A27" s="6">
        <v>8.792009665E9</v>
      </c>
      <c r="B27" s="6">
        <v>29.0</v>
      </c>
    </row>
    <row r="28">
      <c r="A28" s="6">
        <v>6.11766616E9</v>
      </c>
      <c r="B28" s="6">
        <v>28.0</v>
      </c>
    </row>
    <row r="29">
      <c r="A29" s="6">
        <v>6.775888955E9</v>
      </c>
      <c r="B29" s="6">
        <v>26.0</v>
      </c>
    </row>
    <row r="30">
      <c r="A30" s="6">
        <v>7.007744171E9</v>
      </c>
      <c r="B30" s="6">
        <v>26.0</v>
      </c>
    </row>
    <row r="31">
      <c r="A31" s="6">
        <v>3.372868164E9</v>
      </c>
      <c r="B31" s="6">
        <v>20.0</v>
      </c>
    </row>
    <row r="32">
      <c r="A32" s="6">
        <v>8.253242879E9</v>
      </c>
      <c r="B32" s="6">
        <v>19.0</v>
      </c>
    </row>
    <row r="33">
      <c r="A33" s="6">
        <v>2.347167796E9</v>
      </c>
      <c r="B33" s="6">
        <v>18.0</v>
      </c>
    </row>
    <row r="34">
      <c r="A34" s="6">
        <v>4.057192912E9</v>
      </c>
      <c r="B34" s="6">
        <v>4.0</v>
      </c>
    </row>
    <row r="36">
      <c r="B36" s="8">
        <f>AVERAGE(B2:B34)</f>
        <v>28.48484848</v>
      </c>
    </row>
    <row r="37">
      <c r="B37" s="8">
        <f>median(B2:B34)</f>
        <v>31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20</v>
      </c>
      <c r="B1" s="6" t="s">
        <v>21</v>
      </c>
    </row>
    <row r="2">
      <c r="A2" s="6">
        <v>4.02033265E9</v>
      </c>
      <c r="B2" s="6">
        <v>285461.0</v>
      </c>
    </row>
    <row r="3">
      <c r="A3" s="6">
        <v>6.962181067E9</v>
      </c>
      <c r="B3" s="6">
        <v>266326.0</v>
      </c>
    </row>
    <row r="4">
      <c r="A4" s="6">
        <v>5.553957443E9</v>
      </c>
      <c r="B4" s="6">
        <v>255174.0</v>
      </c>
    </row>
    <row r="5">
      <c r="A5" s="6">
        <v>4.388161847E9</v>
      </c>
      <c r="B5" s="6">
        <v>249748.0</v>
      </c>
    </row>
    <row r="6">
      <c r="A6" s="6">
        <v>5.577150313E9</v>
      </c>
      <c r="B6" s="6">
        <v>248560.0</v>
      </c>
    </row>
    <row r="7">
      <c r="A7" s="6">
        <v>8.877689391E9</v>
      </c>
      <c r="B7" s="6">
        <v>228841.0</v>
      </c>
    </row>
    <row r="8">
      <c r="A8" s="6">
        <v>4.558609924E9</v>
      </c>
      <c r="B8" s="6">
        <v>192168.0</v>
      </c>
    </row>
    <row r="9">
      <c r="A9" s="6">
        <v>6.11766616E9</v>
      </c>
      <c r="B9" s="6">
        <v>158899.0</v>
      </c>
    </row>
    <row r="10">
      <c r="A10" s="6">
        <v>2.022484408E9</v>
      </c>
      <c r="B10" s="6">
        <v>154104.0</v>
      </c>
    </row>
    <row r="11">
      <c r="A11" s="6">
        <v>2.347167796E9</v>
      </c>
      <c r="B11" s="6">
        <v>152683.0</v>
      </c>
    </row>
    <row r="12">
      <c r="A12" s="6">
        <v>7.007744171E9</v>
      </c>
      <c r="B12" s="6">
        <v>133592.0</v>
      </c>
    </row>
    <row r="13">
      <c r="A13" s="6">
        <v>8.792009665E9</v>
      </c>
      <c r="B13" s="6">
        <v>122841.0</v>
      </c>
    </row>
    <row r="14">
      <c r="A14" s="6">
        <v>6.775888955E9</v>
      </c>
      <c r="B14" s="6">
        <v>32771.0</v>
      </c>
    </row>
    <row r="15">
      <c r="A15" s="6">
        <v>2.026352035E9</v>
      </c>
      <c r="B15" s="6">
        <v>2490.0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20</v>
      </c>
      <c r="B1" s="6" t="s">
        <v>21</v>
      </c>
    </row>
    <row r="2">
      <c r="A2" s="6">
        <v>1.624580081E9</v>
      </c>
      <c r="B2" s="6">
        <v>755.0</v>
      </c>
    </row>
    <row r="3">
      <c r="A3" s="6">
        <v>1.927972279E9</v>
      </c>
      <c r="B3" s="6">
        <v>755.0</v>
      </c>
    </row>
    <row r="4">
      <c r="A4" s="6">
        <v>2.022484408E9</v>
      </c>
      <c r="B4" s="6">
        <v>755.0</v>
      </c>
    </row>
    <row r="5">
      <c r="A5" s="6">
        <v>2.320127002E9</v>
      </c>
      <c r="B5" s="6">
        <v>755.0</v>
      </c>
    </row>
    <row r="6">
      <c r="A6" s="6">
        <v>2.026352035E9</v>
      </c>
      <c r="B6" s="6">
        <v>754.0</v>
      </c>
    </row>
    <row r="7">
      <c r="A7" s="6">
        <v>4.445114986E9</v>
      </c>
      <c r="B7" s="6">
        <v>754.0</v>
      </c>
    </row>
    <row r="8">
      <c r="A8" s="6">
        <v>4.558609924E9</v>
      </c>
      <c r="B8" s="6">
        <v>754.0</v>
      </c>
    </row>
    <row r="9">
      <c r="A9" s="6">
        <v>6.962181067E9</v>
      </c>
      <c r="B9" s="6">
        <v>754.0</v>
      </c>
    </row>
    <row r="10">
      <c r="A10" s="6">
        <v>8.053475328E9</v>
      </c>
      <c r="B10" s="6">
        <v>754.0</v>
      </c>
    </row>
    <row r="11">
      <c r="A11" s="6">
        <v>8.3785632E9</v>
      </c>
      <c r="B11" s="6">
        <v>754.0</v>
      </c>
    </row>
    <row r="12">
      <c r="A12" s="6">
        <v>8.792009665E9</v>
      </c>
      <c r="B12" s="6">
        <v>754.0</v>
      </c>
    </row>
    <row r="13">
      <c r="A13" s="6">
        <v>8.877689391E9</v>
      </c>
      <c r="B13" s="6">
        <v>753.0</v>
      </c>
    </row>
    <row r="14">
      <c r="A14" s="6">
        <v>5.553957443E9</v>
      </c>
      <c r="B14" s="6">
        <v>752.0</v>
      </c>
    </row>
    <row r="15">
      <c r="A15" s="6">
        <v>7.007744171E9</v>
      </c>
      <c r="B15" s="6">
        <v>752.0</v>
      </c>
    </row>
    <row r="16">
      <c r="A16" s="6">
        <v>7.086361926E9</v>
      </c>
      <c r="B16" s="6">
        <v>752.0</v>
      </c>
    </row>
    <row r="17">
      <c r="A17" s="6">
        <v>1.844505072E9</v>
      </c>
      <c r="B17" s="6">
        <v>751.0</v>
      </c>
    </row>
    <row r="18">
      <c r="A18" s="6">
        <v>2.347167796E9</v>
      </c>
      <c r="B18" s="6">
        <v>751.0</v>
      </c>
    </row>
    <row r="19">
      <c r="A19" s="6">
        <v>4.057192912E9</v>
      </c>
      <c r="B19" s="6">
        <v>750.0</v>
      </c>
    </row>
    <row r="20">
      <c r="A20" s="6">
        <v>4.02033265E9</v>
      </c>
      <c r="B20" s="6">
        <v>749.0</v>
      </c>
    </row>
    <row r="21">
      <c r="A21" s="6">
        <v>3.977333714E9</v>
      </c>
      <c r="B21" s="6">
        <v>747.0</v>
      </c>
    </row>
    <row r="22">
      <c r="A22" s="6">
        <v>1.503960366E9</v>
      </c>
      <c r="B22" s="6">
        <v>744.0</v>
      </c>
    </row>
    <row r="23">
      <c r="A23" s="6">
        <v>4.702921684E9</v>
      </c>
      <c r="B23" s="6">
        <v>742.0</v>
      </c>
    </row>
    <row r="24">
      <c r="A24" s="6">
        <v>2.873212765E9</v>
      </c>
      <c r="B24" s="6">
        <v>740.0</v>
      </c>
    </row>
    <row r="25">
      <c r="A25" s="6">
        <v>8.253242879E9</v>
      </c>
      <c r="B25" s="6">
        <v>740.0</v>
      </c>
    </row>
    <row r="26">
      <c r="A26" s="6">
        <v>5.577150313E9</v>
      </c>
      <c r="B26" s="6">
        <v>730.0</v>
      </c>
    </row>
    <row r="27">
      <c r="A27" s="6">
        <v>3.372868164E9</v>
      </c>
      <c r="B27" s="6">
        <v>711.0</v>
      </c>
    </row>
    <row r="28">
      <c r="A28" s="6">
        <v>1.644430081E9</v>
      </c>
      <c r="B28" s="6">
        <v>700.0</v>
      </c>
    </row>
    <row r="29">
      <c r="A29" s="6">
        <v>6.11766616E9</v>
      </c>
      <c r="B29" s="6">
        <v>695.0</v>
      </c>
    </row>
    <row r="30">
      <c r="A30" s="6">
        <v>6.775888955E9</v>
      </c>
      <c r="B30" s="6">
        <v>682.0</v>
      </c>
    </row>
    <row r="31">
      <c r="A31" s="6">
        <v>6.391747486E9</v>
      </c>
      <c r="B31" s="6">
        <v>675.0</v>
      </c>
    </row>
    <row r="32">
      <c r="A32" s="6">
        <v>4.319703577E9</v>
      </c>
      <c r="B32" s="6">
        <v>671.0</v>
      </c>
    </row>
    <row r="33">
      <c r="A33" s="6">
        <v>8.583815059E9</v>
      </c>
      <c r="B33" s="6">
        <v>666.0</v>
      </c>
    </row>
    <row r="34">
      <c r="A34" s="6">
        <v>6.290855005E9</v>
      </c>
      <c r="B34" s="6">
        <v>521.0</v>
      </c>
    </row>
    <row r="35">
      <c r="A35" s="6">
        <v>2.891001357E9</v>
      </c>
      <c r="B35" s="6">
        <v>12.0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20</v>
      </c>
      <c r="B1" s="6" t="s">
        <v>21</v>
      </c>
    </row>
    <row r="2">
      <c r="A2" s="6">
        <v>1.624580081E9</v>
      </c>
      <c r="B2" s="6">
        <v>736.0</v>
      </c>
    </row>
    <row r="3">
      <c r="A3" s="6">
        <v>1.927972279E9</v>
      </c>
      <c r="B3" s="6">
        <v>736.0</v>
      </c>
    </row>
    <row r="4">
      <c r="A4" s="6">
        <v>2.022484408E9</v>
      </c>
      <c r="B4" s="6">
        <v>736.0</v>
      </c>
    </row>
    <row r="5">
      <c r="A5" s="6">
        <v>2.026352035E9</v>
      </c>
      <c r="B5" s="6">
        <v>736.0</v>
      </c>
    </row>
    <row r="6">
      <c r="A6" s="6">
        <v>2.873212765E9</v>
      </c>
      <c r="B6" s="6">
        <v>736.0</v>
      </c>
    </row>
    <row r="7">
      <c r="A7" s="6">
        <v>4.558609924E9</v>
      </c>
      <c r="B7" s="6">
        <v>736.0</v>
      </c>
    </row>
    <row r="8">
      <c r="A8" s="6">
        <v>2.320127002E9</v>
      </c>
      <c r="B8" s="6">
        <v>735.0</v>
      </c>
    </row>
    <row r="9">
      <c r="A9" s="6">
        <v>4.388161847E9</v>
      </c>
      <c r="B9" s="6">
        <v>735.0</v>
      </c>
    </row>
    <row r="10">
      <c r="A10" s="6">
        <v>4.445114986E9</v>
      </c>
      <c r="B10" s="6">
        <v>735.0</v>
      </c>
    </row>
    <row r="11">
      <c r="A11" s="6">
        <v>8.053475328E9</v>
      </c>
      <c r="B11" s="6">
        <v>735.0</v>
      </c>
    </row>
    <row r="12">
      <c r="A12" s="6">
        <v>8.3785632E9</v>
      </c>
      <c r="B12" s="6">
        <v>735.0</v>
      </c>
    </row>
    <row r="13">
      <c r="A13" s="6">
        <v>8.877689391E9</v>
      </c>
      <c r="B13" s="6">
        <v>735.0</v>
      </c>
    </row>
    <row r="14">
      <c r="A14" s="6">
        <v>7.086361926E9</v>
      </c>
      <c r="B14" s="6">
        <v>733.0</v>
      </c>
    </row>
    <row r="15">
      <c r="A15" s="6">
        <v>4.02033265E9</v>
      </c>
      <c r="B15" s="6">
        <v>732.0</v>
      </c>
    </row>
    <row r="16">
      <c r="A16" s="6">
        <v>6.962181067E9</v>
      </c>
      <c r="B16" s="6">
        <v>732.0</v>
      </c>
    </row>
    <row r="17">
      <c r="A17" s="6">
        <v>1.844505072E9</v>
      </c>
      <c r="B17" s="6">
        <v>731.0</v>
      </c>
    </row>
    <row r="18">
      <c r="A18" s="6">
        <v>4.702921684E9</v>
      </c>
      <c r="B18" s="6">
        <v>731.0</v>
      </c>
    </row>
    <row r="19">
      <c r="A19" s="6">
        <v>5.553957443E9</v>
      </c>
      <c r="B19" s="6">
        <v>730.0</v>
      </c>
    </row>
    <row r="20">
      <c r="A20" s="6">
        <v>4.319703577E9</v>
      </c>
      <c r="B20" s="6">
        <v>724.0</v>
      </c>
    </row>
    <row r="21">
      <c r="A21" s="6">
        <v>8.583815059E9</v>
      </c>
      <c r="B21" s="6">
        <v>718.0</v>
      </c>
    </row>
    <row r="22">
      <c r="A22" s="6">
        <v>1.503960366E9</v>
      </c>
      <c r="B22" s="6">
        <v>717.0</v>
      </c>
    </row>
    <row r="23">
      <c r="A23" s="6">
        <v>1.644430081E9</v>
      </c>
      <c r="B23" s="6">
        <v>708.0</v>
      </c>
    </row>
    <row r="24">
      <c r="A24" s="6">
        <v>5.577150313E9</v>
      </c>
      <c r="B24" s="6">
        <v>708.0</v>
      </c>
    </row>
    <row r="25">
      <c r="A25" s="6">
        <v>3.977333714E9</v>
      </c>
      <c r="B25" s="6">
        <v>696.0</v>
      </c>
    </row>
    <row r="26">
      <c r="A26" s="6">
        <v>8.792009665E9</v>
      </c>
      <c r="B26" s="6">
        <v>672.0</v>
      </c>
    </row>
    <row r="27">
      <c r="A27" s="6">
        <v>6.290855005E9</v>
      </c>
      <c r="B27" s="6">
        <v>665.0</v>
      </c>
    </row>
    <row r="28">
      <c r="A28" s="6">
        <v>6.11766616E9</v>
      </c>
      <c r="B28" s="6">
        <v>660.0</v>
      </c>
    </row>
    <row r="29">
      <c r="A29" s="6">
        <v>6.775888955E9</v>
      </c>
      <c r="B29" s="6">
        <v>610.0</v>
      </c>
    </row>
    <row r="30">
      <c r="A30" s="6">
        <v>7.007744171E9</v>
      </c>
      <c r="B30" s="6">
        <v>601.0</v>
      </c>
    </row>
    <row r="31">
      <c r="A31" s="6">
        <v>3.372868164E9</v>
      </c>
      <c r="B31" s="6">
        <v>472.0</v>
      </c>
    </row>
    <row r="32">
      <c r="A32" s="6">
        <v>8.253242879E9</v>
      </c>
      <c r="B32" s="6">
        <v>431.0</v>
      </c>
    </row>
    <row r="33">
      <c r="A33" s="6">
        <v>2.347167796E9</v>
      </c>
      <c r="B33" s="6">
        <v>414.0</v>
      </c>
    </row>
    <row r="34">
      <c r="A34" s="6">
        <v>4.057192912E9</v>
      </c>
      <c r="B34" s="6">
        <v>88.0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20</v>
      </c>
      <c r="B1" s="6" t="s">
        <v>21</v>
      </c>
    </row>
    <row r="2">
      <c r="A2" s="6">
        <v>2.026352035E9</v>
      </c>
      <c r="B2" s="6">
        <v>17504.0</v>
      </c>
    </row>
    <row r="3">
      <c r="A3" s="6">
        <v>8.3785632E9</v>
      </c>
      <c r="B3" s="6">
        <v>15111.0</v>
      </c>
    </row>
    <row r="4">
      <c r="A4" s="6">
        <v>6.962181067E9</v>
      </c>
      <c r="B4" s="6">
        <v>14903.0</v>
      </c>
    </row>
    <row r="5">
      <c r="A5" s="6">
        <v>5.553957443E9</v>
      </c>
      <c r="B5" s="6">
        <v>14602.0</v>
      </c>
    </row>
    <row r="6">
      <c r="A6" s="6">
        <v>5.577150313E9</v>
      </c>
      <c r="B6" s="6">
        <v>13885.0</v>
      </c>
    </row>
    <row r="7">
      <c r="A7" s="6">
        <v>2.347167796E9</v>
      </c>
      <c r="B7" s="6">
        <v>13484.0</v>
      </c>
    </row>
    <row r="8">
      <c r="A8" s="6">
        <v>4.702921684E9</v>
      </c>
      <c r="B8" s="6">
        <v>13148.0</v>
      </c>
    </row>
    <row r="9">
      <c r="A9" s="6">
        <v>4.319703577E9</v>
      </c>
      <c r="B9" s="6">
        <v>12951.0</v>
      </c>
    </row>
    <row r="10">
      <c r="A10" s="6">
        <v>6.11766616E9</v>
      </c>
      <c r="B10" s="6">
        <v>12925.0</v>
      </c>
    </row>
    <row r="11">
      <c r="A11" s="6">
        <v>1.927972279E9</v>
      </c>
      <c r="B11" s="6">
        <v>11513.0</v>
      </c>
    </row>
    <row r="12">
      <c r="A12" s="6">
        <v>7.086361926E9</v>
      </c>
      <c r="B12" s="6">
        <v>10407.0</v>
      </c>
    </row>
    <row r="13">
      <c r="A13" s="6">
        <v>1.503960366E9</v>
      </c>
      <c r="B13" s="6">
        <v>9629.0</v>
      </c>
    </row>
    <row r="14">
      <c r="A14" s="6">
        <v>4.445114986E9</v>
      </c>
      <c r="B14" s="6">
        <v>9581.0</v>
      </c>
    </row>
    <row r="15">
      <c r="A15" s="6">
        <v>3.977333714E9</v>
      </c>
      <c r="B15" s="6">
        <v>6620.0</v>
      </c>
    </row>
    <row r="16">
      <c r="A16" s="6">
        <v>4.02033265E9</v>
      </c>
      <c r="B16" s="6">
        <v>5752.0</v>
      </c>
    </row>
    <row r="17">
      <c r="A17" s="6">
        <v>8.792009665E9</v>
      </c>
      <c r="B17" s="6">
        <v>5544.0</v>
      </c>
    </row>
    <row r="18">
      <c r="A18" s="6">
        <v>6.775888955E9</v>
      </c>
      <c r="B18" s="6">
        <v>5294.0</v>
      </c>
    </row>
    <row r="19">
      <c r="A19" s="6">
        <v>1.644430081E9</v>
      </c>
      <c r="B19" s="6">
        <v>1922.0</v>
      </c>
    </row>
    <row r="20">
      <c r="A20" s="6">
        <v>1.844505072E9</v>
      </c>
      <c r="B20" s="6">
        <v>1922.0</v>
      </c>
    </row>
    <row r="21">
      <c r="A21" s="6">
        <v>4.558609924E9</v>
      </c>
      <c r="B21" s="6">
        <v>656.0</v>
      </c>
    </row>
    <row r="22">
      <c r="A22" s="6">
        <v>7.007744171E9</v>
      </c>
      <c r="B22" s="6">
        <v>561.0</v>
      </c>
    </row>
    <row r="23">
      <c r="A23" s="6">
        <v>8.053475328E9</v>
      </c>
      <c r="B23" s="6">
        <v>501.0</v>
      </c>
    </row>
    <row r="24">
      <c r="A24" s="6">
        <v>2.022484408E9</v>
      </c>
      <c r="B24" s="6">
        <v>144.0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20</v>
      </c>
      <c r="B1" s="6" t="s">
        <v>21</v>
      </c>
    </row>
    <row r="2">
      <c r="A2" s="6">
        <v>5.553957443E9</v>
      </c>
      <c r="B2" s="6">
        <v>15682.0</v>
      </c>
    </row>
    <row r="3">
      <c r="A3" s="6">
        <v>8.3785632E9</v>
      </c>
      <c r="B3" s="6">
        <v>15064.0</v>
      </c>
    </row>
    <row r="4">
      <c r="A4" s="6">
        <v>2.026352035E9</v>
      </c>
      <c r="B4" s="6">
        <v>15054.0</v>
      </c>
    </row>
    <row r="5">
      <c r="A5" s="6">
        <v>6.962181067E9</v>
      </c>
      <c r="B5" s="6">
        <v>14450.0</v>
      </c>
    </row>
    <row r="6">
      <c r="A6" s="6">
        <v>4.319703577E9</v>
      </c>
      <c r="B6" s="6">
        <v>13051.0</v>
      </c>
    </row>
    <row r="7">
      <c r="A7" s="6">
        <v>3.977333714E9</v>
      </c>
      <c r="B7" s="6">
        <v>12912.0</v>
      </c>
    </row>
    <row r="8">
      <c r="A8" s="6">
        <v>4.702921684E9</v>
      </c>
      <c r="B8" s="6">
        <v>12375.0</v>
      </c>
    </row>
    <row r="9">
      <c r="A9" s="6">
        <v>5.577150313E9</v>
      </c>
      <c r="B9" s="6">
        <v>11976.0</v>
      </c>
    </row>
    <row r="10">
      <c r="A10" s="6">
        <v>4.445114986E9</v>
      </c>
      <c r="B10" s="6">
        <v>11671.0</v>
      </c>
    </row>
    <row r="11">
      <c r="A11" s="6">
        <v>7.086361926E9</v>
      </c>
      <c r="B11" s="6">
        <v>11194.0</v>
      </c>
    </row>
    <row r="12">
      <c r="A12" s="6">
        <v>4.388161847E9</v>
      </c>
      <c r="B12" s="6">
        <v>9734.0</v>
      </c>
    </row>
    <row r="13">
      <c r="A13" s="6">
        <v>1.503960366E9</v>
      </c>
      <c r="B13" s="6">
        <v>9580.0</v>
      </c>
    </row>
    <row r="14">
      <c r="A14" s="6">
        <v>6.11766616E9</v>
      </c>
      <c r="B14" s="6">
        <v>9183.0</v>
      </c>
    </row>
    <row r="15">
      <c r="A15" s="6">
        <v>2.347167796E9</v>
      </c>
      <c r="B15" s="6">
        <v>7370.0</v>
      </c>
    </row>
    <row r="16">
      <c r="A16" s="6">
        <v>8.792009665E9</v>
      </c>
      <c r="B16" s="6">
        <v>6807.0</v>
      </c>
    </row>
    <row r="17">
      <c r="A17" s="6">
        <v>4.02033265E9</v>
      </c>
      <c r="B17" s="6">
        <v>3038.0</v>
      </c>
    </row>
    <row r="18">
      <c r="A18" s="6">
        <v>1.844505072E9</v>
      </c>
      <c r="B18" s="6">
        <v>2883.0</v>
      </c>
    </row>
    <row r="19">
      <c r="A19" s="6">
        <v>1.927972279E9</v>
      </c>
      <c r="B19" s="6">
        <v>2189.0</v>
      </c>
    </row>
    <row r="20">
      <c r="A20" s="6">
        <v>1.644430081E9</v>
      </c>
      <c r="B20" s="6">
        <v>1384.0</v>
      </c>
    </row>
    <row r="21">
      <c r="A21" s="6">
        <v>6.775888955E9</v>
      </c>
      <c r="B21" s="6">
        <v>1107.0</v>
      </c>
    </row>
    <row r="22">
      <c r="A22" s="6">
        <v>8.053475328E9</v>
      </c>
      <c r="B22" s="6">
        <v>905.0</v>
      </c>
    </row>
    <row r="23">
      <c r="A23" s="6">
        <v>4.558609924E9</v>
      </c>
      <c r="B23" s="6">
        <v>700.0</v>
      </c>
    </row>
    <row r="24">
      <c r="A24" s="6">
        <v>7.007744171E9</v>
      </c>
      <c r="B24" s="6">
        <v>143.0</v>
      </c>
    </row>
    <row r="25">
      <c r="A25" s="6">
        <v>2.320127002E9</v>
      </c>
      <c r="B25" s="6">
        <v>69.0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20</v>
      </c>
      <c r="B1" s="6" t="s">
        <v>21</v>
      </c>
    </row>
    <row r="2">
      <c r="A2" s="6">
        <v>8.3785632E9</v>
      </c>
      <c r="B2" s="6">
        <v>32.0</v>
      </c>
    </row>
    <row r="3">
      <c r="A3" s="6">
        <v>5.553957443E9</v>
      </c>
      <c r="B3" s="6">
        <v>31.0</v>
      </c>
    </row>
    <row r="4">
      <c r="A4" s="6">
        <v>6.962181067E9</v>
      </c>
      <c r="B4" s="6">
        <v>31.0</v>
      </c>
    </row>
    <row r="5">
      <c r="A5" s="6">
        <v>2.026352035E9</v>
      </c>
      <c r="B5" s="6">
        <v>28.0</v>
      </c>
    </row>
    <row r="6">
      <c r="A6" s="6">
        <v>3.977333714E9</v>
      </c>
      <c r="B6" s="6">
        <v>28.0</v>
      </c>
    </row>
    <row r="7">
      <c r="A7" s="6">
        <v>4.445114986E9</v>
      </c>
      <c r="B7" s="6">
        <v>28.0</v>
      </c>
    </row>
    <row r="8">
      <c r="A8" s="6">
        <v>4.702921684E9</v>
      </c>
      <c r="B8" s="6">
        <v>28.0</v>
      </c>
    </row>
    <row r="9">
      <c r="A9" s="6">
        <v>4.319703577E9</v>
      </c>
      <c r="B9" s="6">
        <v>26.0</v>
      </c>
    </row>
    <row r="10">
      <c r="A10" s="6">
        <v>5.577150313E9</v>
      </c>
      <c r="B10" s="6">
        <v>26.0</v>
      </c>
    </row>
    <row r="11">
      <c r="A11" s="6">
        <v>1.503960366E9</v>
      </c>
      <c r="B11" s="6">
        <v>25.0</v>
      </c>
    </row>
    <row r="12">
      <c r="A12" s="6">
        <v>4.388161847E9</v>
      </c>
      <c r="B12" s="6">
        <v>24.0</v>
      </c>
    </row>
    <row r="13">
      <c r="A13" s="6">
        <v>7.086361926E9</v>
      </c>
      <c r="B13" s="6">
        <v>24.0</v>
      </c>
    </row>
    <row r="14">
      <c r="A14" s="6">
        <v>6.11766616E9</v>
      </c>
      <c r="B14" s="6">
        <v>18.0</v>
      </c>
    </row>
    <row r="15">
      <c r="A15" s="6">
        <v>2.347167796E9</v>
      </c>
      <c r="B15" s="6">
        <v>15.0</v>
      </c>
    </row>
    <row r="16">
      <c r="A16" s="6">
        <v>8.792009665E9</v>
      </c>
      <c r="B16" s="6">
        <v>15.0</v>
      </c>
    </row>
    <row r="17">
      <c r="A17" s="6">
        <v>4.02033265E9</v>
      </c>
      <c r="B17" s="6">
        <v>8.0</v>
      </c>
    </row>
    <row r="18">
      <c r="A18" s="6">
        <v>1.927972279E9</v>
      </c>
      <c r="B18" s="6">
        <v>5.0</v>
      </c>
    </row>
    <row r="19">
      <c r="A19" s="6">
        <v>4.558609924E9</v>
      </c>
      <c r="B19" s="6">
        <v>5.0</v>
      </c>
    </row>
    <row r="20">
      <c r="A20" s="6">
        <v>1.644430081E9</v>
      </c>
      <c r="B20" s="6">
        <v>4.0</v>
      </c>
    </row>
    <row r="21">
      <c r="A21" s="6">
        <v>1.844505072E9</v>
      </c>
      <c r="B21" s="6">
        <v>3.0</v>
      </c>
    </row>
    <row r="22">
      <c r="A22" s="6">
        <v>6.775888955E9</v>
      </c>
      <c r="B22" s="6">
        <v>3.0</v>
      </c>
    </row>
    <row r="23">
      <c r="A23" s="6">
        <v>8.053475328E9</v>
      </c>
      <c r="B23" s="6">
        <v>3.0</v>
      </c>
    </row>
    <row r="24">
      <c r="A24" s="6">
        <v>7.007744171E9</v>
      </c>
      <c r="B24" s="6">
        <v>2.0</v>
      </c>
    </row>
    <row r="25">
      <c r="A25" s="6">
        <v>2.320127002E9</v>
      </c>
      <c r="B25" s="6">
        <v>1.0</v>
      </c>
    </row>
    <row r="27">
      <c r="B27" s="8">
        <f>AVERAGE(B2:B25)</f>
        <v>17.20833333</v>
      </c>
    </row>
    <row r="28">
      <c r="B28" s="8">
        <f>MEDIAN(B2:B25)</f>
        <v>21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20</v>
      </c>
      <c r="B1" s="6" t="s">
        <v>21</v>
      </c>
    </row>
    <row r="2">
      <c r="A2" s="6">
        <v>6.962181067E9</v>
      </c>
      <c r="B2" s="6">
        <v>14.0</v>
      </c>
    </row>
    <row r="3">
      <c r="A3" s="6">
        <v>8.877689391E9</v>
      </c>
      <c r="B3" s="6">
        <v>9.0</v>
      </c>
    </row>
    <row r="4">
      <c r="A4" s="6">
        <v>2.873212765E9</v>
      </c>
      <c r="B4" s="6">
        <v>2.0</v>
      </c>
    </row>
    <row r="5">
      <c r="A5" s="6">
        <v>1.503960366E9</v>
      </c>
      <c r="B5" s="6">
        <v>1.0</v>
      </c>
    </row>
    <row r="6">
      <c r="A6" s="6">
        <v>1.927972279E9</v>
      </c>
      <c r="B6" s="6">
        <v>1.0</v>
      </c>
    </row>
    <row r="7">
      <c r="A7" s="6">
        <v>2.347167796E9</v>
      </c>
      <c r="B7" s="6">
        <v>1.0</v>
      </c>
    </row>
    <row r="8">
      <c r="A8" s="6">
        <v>2.891001357E9</v>
      </c>
      <c r="B8" s="6">
        <v>1.0</v>
      </c>
    </row>
    <row r="9">
      <c r="A9" s="6">
        <v>4.445114986E9</v>
      </c>
      <c r="B9" s="6">
        <v>1.0</v>
      </c>
    </row>
    <row r="10">
      <c r="A10" s="6">
        <v>4.558609924E9</v>
      </c>
      <c r="B10" s="6">
        <v>1.0</v>
      </c>
    </row>
    <row r="11">
      <c r="A11" s="6">
        <v>4.702921684E9</v>
      </c>
      <c r="B11" s="6">
        <v>1.0</v>
      </c>
    </row>
    <row r="12">
      <c r="A12" s="6">
        <v>8.253242879E9</v>
      </c>
      <c r="B12" s="6">
        <v>1.0</v>
      </c>
    </row>
    <row r="14">
      <c r="B14" s="8">
        <f>AVERAGE(B2:B12)</f>
        <v>3</v>
      </c>
    </row>
    <row r="15">
      <c r="B15" s="8">
        <f>MEDIAN(B2:B12)</f>
        <v>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20</v>
      </c>
      <c r="B1" s="6" t="s">
        <v>21</v>
      </c>
    </row>
    <row r="2">
      <c r="A2" s="6">
        <v>6.962181067E9</v>
      </c>
      <c r="B2" s="6">
        <v>30.0</v>
      </c>
    </row>
    <row r="3">
      <c r="A3" s="6">
        <v>8.877689391E9</v>
      </c>
      <c r="B3" s="6">
        <v>24.0</v>
      </c>
    </row>
    <row r="4">
      <c r="A4" s="6">
        <v>4.558609924E9</v>
      </c>
      <c r="B4" s="6">
        <v>5.0</v>
      </c>
    </row>
    <row r="5">
      <c r="A5" s="6">
        <v>1.503960366E9</v>
      </c>
      <c r="B5" s="6">
        <v>2.0</v>
      </c>
    </row>
    <row r="6">
      <c r="A6" s="6">
        <v>2.873212765E9</v>
      </c>
      <c r="B6" s="6">
        <v>2.0</v>
      </c>
    </row>
    <row r="7">
      <c r="A7" s="6">
        <v>4.319703577E9</v>
      </c>
      <c r="B7" s="6">
        <v>2.0</v>
      </c>
    </row>
    <row r="8">
      <c r="A8" s="6">
        <v>1.927972279E9</v>
      </c>
      <c r="B8" s="6">
        <v>1.0</v>
      </c>
    </row>
    <row r="9">
      <c r="A9" s="6">
        <v>5.577150313E9</v>
      </c>
      <c r="B9" s="6">
        <v>1.0</v>
      </c>
    </row>
    <row r="11">
      <c r="B11" s="8">
        <f>AVERAGE(B2:B9)</f>
        <v>8.375</v>
      </c>
    </row>
    <row r="12">
      <c r="B12" s="8">
        <f>MEDIAN(B2:B9)</f>
        <v>2</v>
      </c>
    </row>
  </sheetData>
  <drawing r:id="rId1"/>
</worksheet>
</file>